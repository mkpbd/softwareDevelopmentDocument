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'Journal'!O1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'Journal'!$A$2:$A$50</f>
            </numRef>
          </cat>
          <val>
            <numRef>
              <f>'Journal'!$O$2:$O$50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Timeframe</t>
        </is>
      </c>
      <c r="D1" s="1" t="inlineStr">
        <is>
          <t>Trend</t>
        </is>
      </c>
      <c r="E1" s="1" t="inlineStr">
        <is>
          <t>Gann Level</t>
        </is>
      </c>
      <c r="F1" s="1" t="inlineStr">
        <is>
          <t>Setup Type</t>
        </is>
      </c>
      <c r="G1" s="1" t="inlineStr">
        <is>
          <t>Entry</t>
        </is>
      </c>
      <c r="H1" s="1" t="inlineStr">
        <is>
          <t>Stop Loss</t>
        </is>
      </c>
      <c r="I1" s="1" t="inlineStr">
        <is>
          <t>Take Profit</t>
        </is>
      </c>
      <c r="J1" s="1" t="inlineStr">
        <is>
          <t>Risk</t>
        </is>
      </c>
      <c r="K1" s="1" t="inlineStr">
        <is>
          <t>Reward</t>
        </is>
      </c>
      <c r="L1" s="1" t="inlineStr">
        <is>
          <t>RR</t>
        </is>
      </c>
      <c r="M1" s="1" t="inlineStr">
        <is>
          <t>Result</t>
        </is>
      </c>
      <c r="N1" s="1" t="inlineStr">
        <is>
          <t>Profit/Loss</t>
        </is>
      </c>
      <c r="O1" s="1" t="inlineStr">
        <is>
          <t>Cumulative P/L</t>
        </is>
      </c>
    </row>
    <row r="2">
      <c r="J2">
        <f>ABS(G2-H2)</f>
        <v/>
      </c>
      <c r="K2">
        <f>ABS(I2-G2)</f>
        <v/>
      </c>
      <c r="L2">
        <f>IF(J2=0,0,K2/J2)</f>
        <v/>
      </c>
      <c r="N2">
        <f>IF(M2="Win",K2,IF(M2="Loss",-J2,0))</f>
        <v/>
      </c>
      <c r="O2">
        <f>SUM($N$2:N2)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3">
      <c r="A3" t="inlineStr">
        <is>
          <t>Total Trades</t>
        </is>
      </c>
      <c r="B3">
        <f>COUNTA(Journal!A2:A1000)</f>
        <v/>
      </c>
    </row>
    <row r="4">
      <c r="A4" t="inlineStr">
        <is>
          <t>Wins</t>
        </is>
      </c>
      <c r="B4">
        <f>COUNTIF(Journal!M2:M1000,"Win")</f>
        <v/>
      </c>
    </row>
    <row r="5">
      <c r="A5" t="inlineStr">
        <is>
          <t>Losses</t>
        </is>
      </c>
      <c r="B5">
        <f>COUNTIF(Journal!M2:M1000,"Loss")</f>
        <v/>
      </c>
    </row>
    <row r="6">
      <c r="A6" t="inlineStr">
        <is>
          <t>Win Rate</t>
        </is>
      </c>
      <c r="B6">
        <f>IF(B3=0,0,B4/B3)</f>
        <v/>
      </c>
    </row>
    <row r="7">
      <c r="A7" t="inlineStr">
        <is>
          <t>Total P/L</t>
        </is>
      </c>
      <c r="B7">
        <f>SUM(Journal!N2:N1000)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2026-04-28T18:05:10Z</dcterms:created>
  <dcterms:modified xmlns:dcterms="http://purl.org/dc/terms/" xmlns:xsi="http://www.w3.org/2001/XMLSchema-instance" xsi:type="dcterms:W3CDTF">2026-04-28T18:05:10Z</dcterms:modified>
</cp:coreProperties>
</file>